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Frota" sheetId="1" state="visible" r:id="rId1"/>
    <sheet name="Crew Wages" sheetId="2" state="visible" r:id="rId2"/>
    <sheet name="Crew 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3" borderId="1" applyAlignment="1" pivotButton="0" quotePrefix="0" xfId="0">
      <alignment horizontal="center" vertical="center"/>
    </xf>
    <xf numFmtId="164" fontId="6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5" fillId="4" borderId="1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Realizado mensal — Frota (R$)</a:t>
            </a:r>
          </a:p>
        </rich>
      </tx>
    </title>
    <plotArea>
      <lineChart>
        <grouping val="standard"/>
        <ser>
          <idx val="0"/>
          <order val="0"/>
          <tx>
            <strRef>
              <f>'Resumo Frota'!C6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Frota'!$B$7:$B$12</f>
            </numRef>
          </cat>
          <val>
            <numRef>
              <f>'Resumo Frota'!$C$7:$C$12</f>
            </numRef>
          </val>
        </ser>
        <ser>
          <idx val="1"/>
          <order val="1"/>
          <tx>
            <strRef>
              <f>'Resumo Frota'!G6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Frota'!$B$7:$B$12</f>
            </numRef>
          </cat>
          <val>
            <numRef>
              <f>'Resumo Frota'!$G$7:$G$12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Crew Wages Realizado por navio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'Crew Wages'!C5</f>
            </strRef>
          </tx>
          <spPr>
            <a:ln>
              <a:prstDash val="solid"/>
            </a:ln>
          </spPr>
          <cat>
            <numRef>
              <f>'Crew Wages'!$B$6:$B$11</f>
            </numRef>
          </cat>
          <val>
            <numRef>
              <f>'Crew Wages'!$C$6:$C$11</f>
            </numRef>
          </val>
        </ser>
        <ser>
          <idx val="1"/>
          <order val="1"/>
          <tx>
            <strRef>
              <f>'Crew Wages'!D5</f>
            </strRef>
          </tx>
          <spPr>
            <a:ln>
              <a:prstDash val="solid"/>
            </a:ln>
          </spPr>
          <cat>
            <numRef>
              <f>'Crew Wages'!$B$6:$B$11</f>
            </numRef>
          </cat>
          <val>
            <numRef>
              <f>'Crew Wages'!$D$6:$D$11</f>
            </numRef>
          </val>
        </ser>
        <ser>
          <idx val="2"/>
          <order val="2"/>
          <tx>
            <strRef>
              <f>'Crew Wages'!E5</f>
            </strRef>
          </tx>
          <spPr>
            <a:ln>
              <a:prstDash val="solid"/>
            </a:ln>
          </spPr>
          <cat>
            <numRef>
              <f>'Crew Wages'!$B$6:$B$11</f>
            </numRef>
          </cat>
          <val>
            <numRef>
              <f>'Crew Wages'!$E$6:$E$11</f>
            </numRef>
          </val>
        </ser>
        <ser>
          <idx val="3"/>
          <order val="3"/>
          <tx>
            <strRef>
              <f>'Crew Wages'!F5</f>
            </strRef>
          </tx>
          <spPr>
            <a:ln>
              <a:prstDash val="solid"/>
            </a:ln>
          </spPr>
          <cat>
            <numRef>
              <f>'Crew Wages'!$B$6:$B$11</f>
            </numRef>
          </cat>
          <val>
            <numRef>
              <f>'Crew Wages'!$F$6:$F$11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Crew Expenses Realizado por navio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'Crew Expenses'!C5</f>
            </strRef>
          </tx>
          <spPr>
            <a:ln>
              <a:prstDash val="solid"/>
            </a:ln>
          </spPr>
          <cat>
            <numRef>
              <f>'Crew Expenses'!$B$6:$B$11</f>
            </numRef>
          </cat>
          <val>
            <numRef>
              <f>'Crew Expenses'!$C$6:$C$11</f>
            </numRef>
          </val>
        </ser>
        <ser>
          <idx val="1"/>
          <order val="1"/>
          <tx>
            <strRef>
              <f>'Crew Expenses'!D5</f>
            </strRef>
          </tx>
          <spPr>
            <a:ln>
              <a:prstDash val="solid"/>
            </a:ln>
          </spPr>
          <cat>
            <numRef>
              <f>'Crew Expenses'!$B$6:$B$11</f>
            </numRef>
          </cat>
          <val>
            <numRef>
              <f>'Crew Expenses'!$D$6:$D$11</f>
            </numRef>
          </val>
        </ser>
        <ser>
          <idx val="2"/>
          <order val="2"/>
          <tx>
            <strRef>
              <f>'Crew Expenses'!E5</f>
            </strRef>
          </tx>
          <spPr>
            <a:ln>
              <a:prstDash val="solid"/>
            </a:ln>
          </spPr>
          <cat>
            <numRef>
              <f>'Crew Expenses'!$B$6:$B$11</f>
            </numRef>
          </cat>
          <val>
            <numRef>
              <f>'Crew Expenses'!$E$6:$E$11</f>
            </numRef>
          </val>
        </ser>
        <ser>
          <idx val="3"/>
          <order val="3"/>
          <tx>
            <strRef>
              <f>'Crew Expenses'!F5</f>
            </strRef>
          </tx>
          <spPr>
            <a:ln>
              <a:prstDash val="solid"/>
            </a:ln>
          </spPr>
          <cat>
            <numRef>
              <f>'Crew Expenses'!$B$6:$B$11</f>
            </numRef>
          </cat>
          <val>
            <numRef>
              <f>'Crew Expenses'!$F$6:$F$11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ALCOA — Crew Wages &amp; Crew Expenses</t>
        </is>
      </c>
    </row>
    <row r="3">
      <c r="B3" s="2" t="inlineStr">
        <is>
          <t>Consolidado da frota (4 navios) — últimos 6 meses (jan–jun/2026) — valores em R$</t>
        </is>
      </c>
    </row>
    <row r="4">
      <c r="B4" s="3" t="inlineStr">
        <is>
          <t>Fonte: Planilhas de custeio ALCOA (SharePoint /sites/OPS · 0 - Alcoa), aba "Comparação RDA". Realizado e RDA = inputs (azul); Var. e % = fórmulas.</t>
        </is>
      </c>
    </row>
    <row r="6" ht="40" customHeight="1">
      <c r="B6" s="4" t="inlineStr">
        <is>
          <t>Mês</t>
        </is>
      </c>
      <c r="C6" s="4" t="inlineStr">
        <is>
          <t>Crew Wages
Realizado</t>
        </is>
      </c>
      <c r="D6" s="4" t="inlineStr">
        <is>
          <t>Crew Wages
RDA (orçado)</t>
        </is>
      </c>
      <c r="E6" s="4" t="inlineStr">
        <is>
          <t>Crew Wages
Var. R$</t>
        </is>
      </c>
      <c r="F6" s="4" t="inlineStr">
        <is>
          <t>Crew Wages
Var. %</t>
        </is>
      </c>
      <c r="G6" s="4" t="inlineStr">
        <is>
          <t>Crew Expenses
Realizado</t>
        </is>
      </c>
      <c r="H6" s="4" t="inlineStr">
        <is>
          <t>Crew Expenses
RDA (orçado)</t>
        </is>
      </c>
      <c r="I6" s="4" t="inlineStr">
        <is>
          <t>Crew Expenses
Var. R$</t>
        </is>
      </c>
      <c r="J6" s="4" t="inlineStr">
        <is>
          <t>Crew Expenses
Var. %</t>
        </is>
      </c>
      <c r="K6" s="4" t="inlineStr">
        <is>
          <t>Total Crew
Realizado</t>
        </is>
      </c>
    </row>
    <row r="7">
      <c r="B7" s="5" t="inlineStr">
        <is>
          <t>jan/26</t>
        </is>
      </c>
      <c r="C7" s="6" t="n">
        <v>7292312.78</v>
      </c>
      <c r="D7" s="6" t="n">
        <v>6922030.6</v>
      </c>
      <c r="E7" s="7">
        <f>C7-D7</f>
        <v/>
      </c>
      <c r="F7" s="8">
        <f>IF(D7=0,0,(C7-D7)/D7)</f>
        <v/>
      </c>
      <c r="G7" s="6" t="n">
        <v>628437.6</v>
      </c>
      <c r="H7" s="6" t="n">
        <v>343019.32</v>
      </c>
      <c r="I7" s="7">
        <f>G7-H7</f>
        <v/>
      </c>
      <c r="J7" s="8">
        <f>IF(H7=0,0,(G7-H7)/H7)</f>
        <v/>
      </c>
      <c r="K7" s="7">
        <f>C7+G7</f>
        <v/>
      </c>
    </row>
    <row r="8">
      <c r="B8" s="9" t="inlineStr">
        <is>
          <t>fev/26</t>
        </is>
      </c>
      <c r="C8" s="10" t="n">
        <v>7298248.95</v>
      </c>
      <c r="D8" s="10" t="n">
        <v>6922030.64</v>
      </c>
      <c r="E8" s="11">
        <f>C8-D8</f>
        <v/>
      </c>
      <c r="F8" s="12">
        <f>IF(D8=0,0,(C8-D8)/D8)</f>
        <v/>
      </c>
      <c r="G8" s="10" t="n">
        <v>443024.39</v>
      </c>
      <c r="H8" s="10" t="n">
        <v>343019.52</v>
      </c>
      <c r="I8" s="11">
        <f>G8-H8</f>
        <v/>
      </c>
      <c r="J8" s="12">
        <f>IF(H8=0,0,(G8-H8)/H8)</f>
        <v/>
      </c>
      <c r="K8" s="11">
        <f>C8+G8</f>
        <v/>
      </c>
    </row>
    <row r="9">
      <c r="B9" s="5" t="inlineStr">
        <is>
          <t>mar/26</t>
        </is>
      </c>
      <c r="C9" s="6" t="n">
        <v>7222465.25</v>
      </c>
      <c r="D9" s="6" t="n">
        <v>6922030.64</v>
      </c>
      <c r="E9" s="7">
        <f>C9-D9</f>
        <v/>
      </c>
      <c r="F9" s="8">
        <f>IF(D9=0,0,(C9-D9)/D9)</f>
        <v/>
      </c>
      <c r="G9" s="6" t="n">
        <v>506365.3</v>
      </c>
      <c r="H9" s="6" t="n">
        <v>343019.52</v>
      </c>
      <c r="I9" s="7">
        <f>G9-H9</f>
        <v/>
      </c>
      <c r="J9" s="8">
        <f>IF(H9=0,0,(G9-H9)/H9)</f>
        <v/>
      </c>
      <c r="K9" s="7">
        <f>C9+G9</f>
        <v/>
      </c>
    </row>
    <row r="10">
      <c r="B10" s="9" t="inlineStr">
        <is>
          <t>abr/26</t>
        </is>
      </c>
      <c r="C10" s="10" t="n">
        <v>7620662.86</v>
      </c>
      <c r="D10" s="10" t="n">
        <v>6871688.56</v>
      </c>
      <c r="E10" s="11">
        <f>C10-D10</f>
        <v/>
      </c>
      <c r="F10" s="12">
        <f>IF(D10=0,0,(C10-D10)/D10)</f>
        <v/>
      </c>
      <c r="G10" s="10" t="n">
        <v>573810.27</v>
      </c>
      <c r="H10" s="10" t="n">
        <v>340524.84</v>
      </c>
      <c r="I10" s="11">
        <f>G10-H10</f>
        <v/>
      </c>
      <c r="J10" s="12">
        <f>IF(H10=0,0,(G10-H10)/H10)</f>
        <v/>
      </c>
      <c r="K10" s="11">
        <f>C10+G10</f>
        <v/>
      </c>
    </row>
    <row r="11">
      <c r="B11" s="5" t="inlineStr">
        <is>
          <t>mai/26</t>
        </is>
      </c>
      <c r="C11" s="6" t="n">
        <v>7416245.75</v>
      </c>
      <c r="D11" s="6" t="n">
        <v>6871688.56</v>
      </c>
      <c r="E11" s="7">
        <f>C11-D11</f>
        <v/>
      </c>
      <c r="F11" s="8">
        <f>IF(D11=0,0,(C11-D11)/D11)</f>
        <v/>
      </c>
      <c r="G11" s="6" t="n">
        <v>581866.8</v>
      </c>
      <c r="H11" s="6" t="n">
        <v>340524.84</v>
      </c>
      <c r="I11" s="7">
        <f>G11-H11</f>
        <v/>
      </c>
      <c r="J11" s="8">
        <f>IF(H11=0,0,(G11-H11)/H11)</f>
        <v/>
      </c>
      <c r="K11" s="7">
        <f>C11+G11</f>
        <v/>
      </c>
    </row>
    <row r="12">
      <c r="B12" s="9" t="inlineStr">
        <is>
          <t>jun/26</t>
        </is>
      </c>
      <c r="C12" s="10" t="n">
        <v>6785684.18</v>
      </c>
      <c r="D12" s="10" t="n">
        <v>6871688.56</v>
      </c>
      <c r="E12" s="11">
        <f>C12-D12</f>
        <v/>
      </c>
      <c r="F12" s="12">
        <f>IF(D12=0,0,(C12-D12)/D12)</f>
        <v/>
      </c>
      <c r="G12" s="10" t="n">
        <v>483569.81</v>
      </c>
      <c r="H12" s="10" t="n">
        <v>340524.84</v>
      </c>
      <c r="I12" s="11">
        <f>G12-H12</f>
        <v/>
      </c>
      <c r="J12" s="12">
        <f>IF(H12=0,0,(G12-H12)/H12)</f>
        <v/>
      </c>
      <c r="K12" s="11">
        <f>C12+G12</f>
        <v/>
      </c>
    </row>
    <row r="13">
      <c r="B13" s="13" t="inlineStr">
        <is>
          <t>TOTAL 6 meses</t>
        </is>
      </c>
      <c r="C13" s="14">
        <f>SUM(C7:C12)</f>
        <v/>
      </c>
      <c r="D13" s="14">
        <f>SUM(D7:D12)</f>
        <v/>
      </c>
      <c r="E13" s="14">
        <f>SUM(E7:E12)</f>
        <v/>
      </c>
      <c r="F13" s="15">
        <f>IF(D13=0,0,(C13-D13)/D13)</f>
        <v/>
      </c>
      <c r="G13" s="14">
        <f>SUM(G7:G12)</f>
        <v/>
      </c>
      <c r="H13" s="14">
        <f>SUM(H7:H12)</f>
        <v/>
      </c>
      <c r="I13" s="14">
        <f>SUM(I7:I12)</f>
        <v/>
      </c>
      <c r="J13" s="15">
        <f>IF(H13=0,0,(G13-H13)/H13)</f>
        <v/>
      </c>
      <c r="K13" s="14">
        <f>SUM(K7:K12)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ALCOA — Crew Wages por embarcação</t>
        </is>
      </c>
    </row>
    <row r="3">
      <c r="B3" s="2" t="inlineStr">
        <is>
          <t>Realizado por navio — R$. Total, RDA (4 navios) e Variação = fórmulas.</t>
        </is>
      </c>
    </row>
    <row r="5" ht="28" customHeight="1">
      <c r="B5" s="4" t="inlineStr">
        <is>
          <t>Mês</t>
        </is>
      </c>
      <c r="C5" s="4" t="inlineStr">
        <is>
          <t>Amazon Pioneer</t>
        </is>
      </c>
      <c r="D5" s="4" t="inlineStr">
        <is>
          <t>Amazon Pathfinder</t>
        </is>
      </c>
      <c r="E5" s="4" t="inlineStr">
        <is>
          <t>Amazon Commander</t>
        </is>
      </c>
      <c r="F5" s="4" t="inlineStr">
        <is>
          <t>Amazon Courage</t>
        </is>
      </c>
      <c r="G5" s="4" t="inlineStr">
        <is>
          <t>Total Frota</t>
        </is>
      </c>
      <c r="H5" s="4" t="inlineStr">
        <is>
          <t>RDA (4 navios)</t>
        </is>
      </c>
      <c r="I5" s="4" t="inlineStr">
        <is>
          <t>Var. R$</t>
        </is>
      </c>
      <c r="J5" s="4" t="inlineStr">
        <is>
          <t>Var. %</t>
        </is>
      </c>
    </row>
    <row r="6">
      <c r="B6" s="5" t="inlineStr">
        <is>
          <t>jan/26</t>
        </is>
      </c>
      <c r="C6" s="6" t="n">
        <v>1817201.65</v>
      </c>
      <c r="D6" s="6" t="n">
        <v>1782114.86</v>
      </c>
      <c r="E6" s="6" t="n">
        <v>1804496.48</v>
      </c>
      <c r="F6" s="6" t="n">
        <v>1888499.79</v>
      </c>
      <c r="G6" s="7">
        <f>SUM(C6:F6)</f>
        <v/>
      </c>
      <c r="H6" s="6" t="n">
        <v>6922030.6</v>
      </c>
      <c r="I6" s="7">
        <f>G6-H6</f>
        <v/>
      </c>
      <c r="J6" s="8">
        <f>IF(H6=0,0,(G6-H6)/H6)</f>
        <v/>
      </c>
    </row>
    <row r="7">
      <c r="B7" s="9" t="inlineStr">
        <is>
          <t>fev/26</t>
        </is>
      </c>
      <c r="C7" s="10" t="n">
        <v>1859646.46</v>
      </c>
      <c r="D7" s="10" t="n">
        <v>1740468.14</v>
      </c>
      <c r="E7" s="10" t="n">
        <v>1818093.58</v>
      </c>
      <c r="F7" s="10" t="n">
        <v>1880040.77</v>
      </c>
      <c r="G7" s="11">
        <f>SUM(C7:F7)</f>
        <v/>
      </c>
      <c r="H7" s="10" t="n">
        <v>6922030.64</v>
      </c>
      <c r="I7" s="11">
        <f>G7-H7</f>
        <v/>
      </c>
      <c r="J7" s="12">
        <f>IF(H7=0,0,(G7-H7)/H7)</f>
        <v/>
      </c>
    </row>
    <row r="8">
      <c r="B8" s="5" t="inlineStr">
        <is>
          <t>mar/26</t>
        </is>
      </c>
      <c r="C8" s="6" t="n">
        <v>1880769.33</v>
      </c>
      <c r="D8" s="6" t="n">
        <v>1626429.15</v>
      </c>
      <c r="E8" s="6" t="n">
        <v>1869611.07</v>
      </c>
      <c r="F8" s="6" t="n">
        <v>1845655.7</v>
      </c>
      <c r="G8" s="7">
        <f>SUM(C8:F8)</f>
        <v/>
      </c>
      <c r="H8" s="6" t="n">
        <v>6922030.64</v>
      </c>
      <c r="I8" s="7">
        <f>G8-H8</f>
        <v/>
      </c>
      <c r="J8" s="8">
        <f>IF(H8=0,0,(G8-H8)/H8)</f>
        <v/>
      </c>
    </row>
    <row r="9">
      <c r="B9" s="9" t="inlineStr">
        <is>
          <t>abr/26</t>
        </is>
      </c>
      <c r="C9" s="10" t="n">
        <v>2113259.61</v>
      </c>
      <c r="D9" s="10" t="n">
        <v>1777311.43</v>
      </c>
      <c r="E9" s="10" t="n">
        <v>1873959.36</v>
      </c>
      <c r="F9" s="10" t="n">
        <v>1856132.46</v>
      </c>
      <c r="G9" s="11">
        <f>SUM(C9:F9)</f>
        <v/>
      </c>
      <c r="H9" s="10" t="n">
        <v>6871688.56</v>
      </c>
      <c r="I9" s="11">
        <f>G9-H9</f>
        <v/>
      </c>
      <c r="J9" s="12">
        <f>IF(H9=0,0,(G9-H9)/H9)</f>
        <v/>
      </c>
    </row>
    <row r="10">
      <c r="B10" s="5" t="inlineStr">
        <is>
          <t>mai/26</t>
        </is>
      </c>
      <c r="C10" s="6" t="n">
        <v>1815029.88</v>
      </c>
      <c r="D10" s="6" t="n">
        <v>1885937.53</v>
      </c>
      <c r="E10" s="6" t="n">
        <v>1783805.46</v>
      </c>
      <c r="F10" s="6" t="n">
        <v>1931472.88</v>
      </c>
      <c r="G10" s="7">
        <f>SUM(C10:F10)</f>
        <v/>
      </c>
      <c r="H10" s="6" t="n">
        <v>6871688.56</v>
      </c>
      <c r="I10" s="7">
        <f>G10-H10</f>
        <v/>
      </c>
      <c r="J10" s="8">
        <f>IF(H10=0,0,(G10-H10)/H10)</f>
        <v/>
      </c>
    </row>
    <row r="11">
      <c r="B11" s="9" t="inlineStr">
        <is>
          <t>jun/26</t>
        </is>
      </c>
      <c r="C11" s="10" t="n">
        <v>1557299.21</v>
      </c>
      <c r="D11" s="10" t="n">
        <v>1727304.21</v>
      </c>
      <c r="E11" s="10" t="n">
        <v>1690427.48</v>
      </c>
      <c r="F11" s="10" t="n">
        <v>1810653.28</v>
      </c>
      <c r="G11" s="11">
        <f>SUM(C11:F11)</f>
        <v/>
      </c>
      <c r="H11" s="10" t="n">
        <v>6871688.56</v>
      </c>
      <c r="I11" s="11">
        <f>G11-H11</f>
        <v/>
      </c>
      <c r="J11" s="12">
        <f>IF(H11=0,0,(G11-H11)/H11)</f>
        <v/>
      </c>
    </row>
    <row r="12">
      <c r="B12" s="13" t="inlineStr">
        <is>
          <t>TOTAL</t>
        </is>
      </c>
      <c r="C12" s="14">
        <f>SUM(C6:C11)</f>
        <v/>
      </c>
      <c r="D12" s="14">
        <f>SUM(D6:D11)</f>
        <v/>
      </c>
      <c r="E12" s="14">
        <f>SUM(E6:E11)</f>
        <v/>
      </c>
      <c r="F12" s="14">
        <f>SUM(F6:F11)</f>
        <v/>
      </c>
      <c r="G12" s="14">
        <f>SUM(G6:G11)</f>
        <v/>
      </c>
      <c r="H12" s="14">
        <f>SUM(H6:H11)</f>
        <v/>
      </c>
      <c r="I12" s="14">
        <f>SUM(I6:I11)</f>
        <v/>
      </c>
      <c r="J12" s="15">
        <f>IF(H12=0,0,(G12-H12)/H12)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ALCOA — Crew Expenses por embarcação</t>
        </is>
      </c>
    </row>
    <row r="3">
      <c r="B3" s="2" t="inlineStr">
        <is>
          <t>Realizado por navio — R$. Total, RDA (4 navios) e Variação = fórmulas.</t>
        </is>
      </c>
    </row>
    <row r="5" ht="28" customHeight="1">
      <c r="B5" s="4" t="inlineStr">
        <is>
          <t>Mês</t>
        </is>
      </c>
      <c r="C5" s="4" t="inlineStr">
        <is>
          <t>Amazon Pioneer</t>
        </is>
      </c>
      <c r="D5" s="4" t="inlineStr">
        <is>
          <t>Amazon Pathfinder</t>
        </is>
      </c>
      <c r="E5" s="4" t="inlineStr">
        <is>
          <t>Amazon Commander</t>
        </is>
      </c>
      <c r="F5" s="4" t="inlineStr">
        <is>
          <t>Amazon Courage</t>
        </is>
      </c>
      <c r="G5" s="4" t="inlineStr">
        <is>
          <t>Total Frota</t>
        </is>
      </c>
      <c r="H5" s="4" t="inlineStr">
        <is>
          <t>RDA (4 navios)</t>
        </is>
      </c>
      <c r="I5" s="4" t="inlineStr">
        <is>
          <t>Var. R$</t>
        </is>
      </c>
      <c r="J5" s="4" t="inlineStr">
        <is>
          <t>Var. %</t>
        </is>
      </c>
    </row>
    <row r="6">
      <c r="B6" s="5" t="inlineStr">
        <is>
          <t>jan/26</t>
        </is>
      </c>
      <c r="C6" s="6" t="n">
        <v>93039.67</v>
      </c>
      <c r="D6" s="6" t="n">
        <v>142393.07</v>
      </c>
      <c r="E6" s="6" t="n">
        <v>196417.79</v>
      </c>
      <c r="F6" s="6" t="n">
        <v>196587.07</v>
      </c>
      <c r="G6" s="7">
        <f>SUM(C6:F6)</f>
        <v/>
      </c>
      <c r="H6" s="6" t="n">
        <v>343019.32</v>
      </c>
      <c r="I6" s="7">
        <f>G6-H6</f>
        <v/>
      </c>
      <c r="J6" s="8">
        <f>IF(H6=0,0,(G6-H6)/H6)</f>
        <v/>
      </c>
    </row>
    <row r="7">
      <c r="B7" s="9" t="inlineStr">
        <is>
          <t>fev/26</t>
        </is>
      </c>
      <c r="C7" s="10" t="n">
        <v>133233.39</v>
      </c>
      <c r="D7" s="10" t="n">
        <v>134969.06</v>
      </c>
      <c r="E7" s="10" t="n">
        <v>63243.29</v>
      </c>
      <c r="F7" s="10" t="n">
        <v>111578.65</v>
      </c>
      <c r="G7" s="11">
        <f>SUM(C7:F7)</f>
        <v/>
      </c>
      <c r="H7" s="10" t="n">
        <v>343019.52</v>
      </c>
      <c r="I7" s="11">
        <f>G7-H7</f>
        <v/>
      </c>
      <c r="J7" s="12">
        <f>IF(H7=0,0,(G7-H7)/H7)</f>
        <v/>
      </c>
    </row>
    <row r="8">
      <c r="B8" s="5" t="inlineStr">
        <is>
          <t>mar/26</t>
        </is>
      </c>
      <c r="C8" s="6" t="n">
        <v>116292.14</v>
      </c>
      <c r="D8" s="6" t="n">
        <v>138713.04</v>
      </c>
      <c r="E8" s="6" t="n">
        <v>157621.61</v>
      </c>
      <c r="F8" s="6" t="n">
        <v>93738.50999999999</v>
      </c>
      <c r="G8" s="7">
        <f>SUM(C8:F8)</f>
        <v/>
      </c>
      <c r="H8" s="6" t="n">
        <v>343019.52</v>
      </c>
      <c r="I8" s="7">
        <f>G8-H8</f>
        <v/>
      </c>
      <c r="J8" s="8">
        <f>IF(H8=0,0,(G8-H8)/H8)</f>
        <v/>
      </c>
    </row>
    <row r="9">
      <c r="B9" s="9" t="inlineStr">
        <is>
          <t>abr/26</t>
        </is>
      </c>
      <c r="C9" s="10" t="n">
        <v>42203.51</v>
      </c>
      <c r="D9" s="10" t="n">
        <v>170571.37</v>
      </c>
      <c r="E9" s="10" t="n">
        <v>207825.06</v>
      </c>
      <c r="F9" s="10" t="n">
        <v>153210.33</v>
      </c>
      <c r="G9" s="11">
        <f>SUM(C9:F9)</f>
        <v/>
      </c>
      <c r="H9" s="10" t="n">
        <v>340524.84</v>
      </c>
      <c r="I9" s="11">
        <f>G9-H9</f>
        <v/>
      </c>
      <c r="J9" s="12">
        <f>IF(H9=0,0,(G9-H9)/H9)</f>
        <v/>
      </c>
    </row>
    <row r="10">
      <c r="B10" s="5" t="inlineStr">
        <is>
          <t>mai/26</t>
        </is>
      </c>
      <c r="C10" s="6" t="n">
        <v>230445.02</v>
      </c>
      <c r="D10" s="6" t="n">
        <v>244924.94</v>
      </c>
      <c r="E10" s="6" t="n">
        <v>43192.9</v>
      </c>
      <c r="F10" s="6" t="n">
        <v>63303.94</v>
      </c>
      <c r="G10" s="7">
        <f>SUM(C10:F10)</f>
        <v/>
      </c>
      <c r="H10" s="6" t="n">
        <v>340524.84</v>
      </c>
      <c r="I10" s="7">
        <f>G10-H10</f>
        <v/>
      </c>
      <c r="J10" s="8">
        <f>IF(H10=0,0,(G10-H10)/H10)</f>
        <v/>
      </c>
    </row>
    <row r="11">
      <c r="B11" s="9" t="inlineStr">
        <is>
          <t>jun/26</t>
        </is>
      </c>
      <c r="C11" s="10" t="n">
        <v>73013.87</v>
      </c>
      <c r="D11" s="10" t="n">
        <v>21433.34</v>
      </c>
      <c r="E11" s="10" t="n">
        <v>183386.3</v>
      </c>
      <c r="F11" s="10" t="n">
        <v>205736.3</v>
      </c>
      <c r="G11" s="11">
        <f>SUM(C11:F11)</f>
        <v/>
      </c>
      <c r="H11" s="10" t="n">
        <v>340524.84</v>
      </c>
      <c r="I11" s="11">
        <f>G11-H11</f>
        <v/>
      </c>
      <c r="J11" s="12">
        <f>IF(H11=0,0,(G11-H11)/H11)</f>
        <v/>
      </c>
    </row>
    <row r="12">
      <c r="B12" s="13" t="inlineStr">
        <is>
          <t>TOTAL</t>
        </is>
      </c>
      <c r="C12" s="14">
        <f>SUM(C6:C11)</f>
        <v/>
      </c>
      <c r="D12" s="14">
        <f>SUM(D6:D11)</f>
        <v/>
      </c>
      <c r="E12" s="14">
        <f>SUM(E6:E11)</f>
        <v/>
      </c>
      <c r="F12" s="14">
        <f>SUM(F6:F11)</f>
        <v/>
      </c>
      <c r="G12" s="14">
        <f>SUM(G6:G11)</f>
        <v/>
      </c>
      <c r="H12" s="14">
        <f>SUM(H6:H11)</f>
        <v/>
      </c>
      <c r="I12" s="14">
        <f>SUM(I6:I11)</f>
        <v/>
      </c>
      <c r="J12" s="15">
        <f>IF(H12=0,0,(G12-H12)/H12)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2026-08-10T17:43:58Z</dcterms:created>
  <dcterms:modified xsi:type="dcterms:W3CDTF">2026-08-10T17:43:58Z</dcterms:modified>
</cp:coreProperties>
</file>